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entmdh-my.sharepoint.com/personal/mai20018_student_mdu_se/Documents/"/>
    </mc:Choice>
  </mc:AlternateContent>
  <xr:revisionPtr revIDLastSave="639" documentId="8_{3BFDA745-90FF-4332-A4E5-C20687D710FE}" xr6:coauthVersionLast="47" xr6:coauthVersionMax="47" xr10:uidLastSave="{27A4B705-5F63-4D1F-A494-469FE90EFA7D}"/>
  <bookViews>
    <workbookView xWindow="15975" yWindow="2340" windowWidth="25065" windowHeight="15345" xr2:uid="{D0F97388-7544-493B-B09C-347D3CADC4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18" i="1"/>
  <c r="E40" i="1"/>
  <c r="E50" i="1"/>
  <c r="E68" i="1" l="1"/>
</calcChain>
</file>

<file path=xl/sharedStrings.xml><?xml version="1.0" encoding="utf-8"?>
<sst xmlns="http://schemas.openxmlformats.org/spreadsheetml/2006/main" count="124" uniqueCount="68">
  <si>
    <t>Component</t>
  </si>
  <si>
    <t>Datasheet</t>
  </si>
  <si>
    <t>Purchase site</t>
  </si>
  <si>
    <t>Amount</t>
  </si>
  <si>
    <t>Cost/Unit (Kr)</t>
  </si>
  <si>
    <t>Hand</t>
  </si>
  <si>
    <t>HS-422 servo</t>
  </si>
  <si>
    <t>Electrokit</t>
  </si>
  <si>
    <t>ESP32-C3-Zero</t>
  </si>
  <si>
    <t>6DOF LSM6DSO32 IMU</t>
  </si>
  <si>
    <t>Temperatursensor NTC</t>
  </si>
  <si>
    <t>SN65HVD232D, CAN Transceiver</t>
  </si>
  <si>
    <t>RS</t>
  </si>
  <si>
    <t>Tryckkänsligt motstånd 0.3</t>
  </si>
  <si>
    <t>Stiftlist 2.54mm 1x40p brytbar</t>
  </si>
  <si>
    <t xml:space="preserve">Optical Gaming Navigation Chip </t>
  </si>
  <si>
    <t>Github</t>
  </si>
  <si>
    <t>Skruvplint 2.54mm 2-pol</t>
  </si>
  <si>
    <t>Emergency Stop</t>
  </si>
  <si>
    <t>PCA82C251T</t>
  </si>
  <si>
    <t>Elektrokit</t>
  </si>
  <si>
    <t>Sub-Total</t>
  </si>
  <si>
    <t>Arm</t>
  </si>
  <si>
    <t>AX-12</t>
  </si>
  <si>
    <t>Stegmotor NEMA17 1.8° 0.45Nm</t>
  </si>
  <si>
    <t>Stegmotordrivare DRV8825</t>
  </si>
  <si>
    <t>Stegmotor NEMA23 1.8° 3Nm</t>
  </si>
  <si>
    <t xml:space="preserve"> HV2060MG Digital-servo</t>
  </si>
  <si>
    <t>Elgiganten</t>
  </si>
  <si>
    <t>Grön Kopplingskabel RK0.5</t>
  </si>
  <si>
    <t>Gul Kopplingskabel RK0.5</t>
  </si>
  <si>
    <t>Stranded Wire PVC Red</t>
  </si>
  <si>
    <t>Elfa</t>
  </si>
  <si>
    <t>Stranded Wire PVC Black</t>
  </si>
  <si>
    <t>Potentiometer</t>
  </si>
  <si>
    <t>RS-Components</t>
  </si>
  <si>
    <t>82,21</t>
  </si>
  <si>
    <t xml:space="preserve">DC-DC converter </t>
  </si>
  <si>
    <t>Cuff</t>
  </si>
  <si>
    <t>Connectivity Vibration Sensor</t>
  </si>
  <si>
    <t>HARLEY</t>
  </si>
  <si>
    <t>Kullager 10x15x4 (SKF 61700)</t>
  </si>
  <si>
    <t>https://www.kullagergrossisten.se/product/10x15x4-gummi-metalltat--avid</t>
  </si>
  <si>
    <t>Är inte helt hundra om jag inte kommer använda fler lager, så kanske ta 2 extra av varje? (de två första)</t>
  </si>
  <si>
    <t>Kullager 15x21x4 (SKF 61702)</t>
  </si>
  <si>
    <t>https://www.kullagergrossisten.se/product/15x21x4-gummitatat--abec-5-</t>
  </si>
  <si>
    <t>Kullager 45x58x7 (SKF 61809)</t>
  </si>
  <si>
    <t>https://www.remlagret.se/products/61809-2rs1-skf-kullager-45x58x7</t>
  </si>
  <si>
    <t>Ruthex M3x5.7 Brass Inserts</t>
  </si>
  <si>
    <t xml:space="preserve">Example </t>
  </si>
  <si>
    <t>Ruthex M5x9.5 Brass Inserts</t>
  </si>
  <si>
    <t>Example</t>
  </si>
  <si>
    <t>SHCS (ISO 4762) M3x20</t>
  </si>
  <si>
    <t>Antal skruvar är ej klart. Detta är endast just nu</t>
  </si>
  <si>
    <t>SCHS M3x20 (Ex DIN 7991)</t>
  </si>
  <si>
    <t>SCHS M3x16 (Ex DIN 7991)</t>
  </si>
  <si>
    <t>SHCS (ISO 4762) M10x90</t>
  </si>
  <si>
    <t>Hex nut (ISO 4034) M10</t>
  </si>
  <si>
    <t>TR8x8 Lead Screw (Bicep)</t>
  </si>
  <si>
    <t>Flanged Round Nut For Lead Screw</t>
  </si>
  <si>
    <t>Lead Screw, 10mm</t>
  </si>
  <si>
    <t>Kullager 30x42x7 (SKF 61806)</t>
  </si>
  <si>
    <t>Total</t>
  </si>
  <si>
    <t>skruvar https://rostfriskruv.se/kassa/?cart=800315:1,800607:15,800608:150,800536:8,800940:2</t>
  </si>
  <si>
    <t>6700-2RS-AVI 10st https://www.kullagergrossisten.se/product/10x15x4-gummi-metalltat--avid</t>
  </si>
  <si>
    <t>6702-2RS 8st https://www.kullagergrossisten.se/product/15x21x4-gummitatat--abec-5-</t>
  </si>
  <si>
    <t>61809-2RS1 SKF Kullager 45x58x7 2st https://www.remlagret.se/products/61809-2rs1-skf-kullager-45x58x7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</si>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</sst>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373737"/>
      <name val="Niveau-Grotesk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5" fillId="5" borderId="9" applyNumberFormat="0" applyAlignment="0" applyProtection="0"/>
    <xf numFmtId="0" fontId="6" fillId="6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3" fillId="4" borderId="16" xfId="3" applyBorder="1" applyAlignment="1">
      <alignment horizontal="center"/>
    </xf>
    <xf numFmtId="0" fontId="0" fillId="0" borderId="3" xfId="0" applyBorder="1"/>
    <xf numFmtId="0" fontId="2" fillId="3" borderId="1" xfId="2" applyAlignment="1">
      <alignment horizontal="center"/>
    </xf>
    <xf numFmtId="0" fontId="2" fillId="3" borderId="1" xfId="2" applyAlignment="1">
      <alignment horizontal="center" vertical="center"/>
    </xf>
    <xf numFmtId="0" fontId="4" fillId="0" borderId="3" xfId="6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8" xfId="2" applyBorder="1" applyAlignment="1">
      <alignment horizontal="center"/>
    </xf>
    <xf numFmtId="0" fontId="7" fillId="5" borderId="3" xfId="4" applyFont="1" applyBorder="1" applyAlignment="1">
      <alignment horizontal="center"/>
    </xf>
    <xf numFmtId="0" fontId="2" fillId="3" borderId="10" xfId="2" applyBorder="1" applyAlignment="1">
      <alignment horizontal="center"/>
    </xf>
    <xf numFmtId="0" fontId="2" fillId="3" borderId="3" xfId="2" applyBorder="1" applyAlignment="1">
      <alignment horizontal="center"/>
    </xf>
    <xf numFmtId="0" fontId="6" fillId="6" borderId="5" xfId="5" applyBorder="1" applyAlignment="1">
      <alignment horizontal="center"/>
    </xf>
    <xf numFmtId="0" fontId="6" fillId="6" borderId="6" xfId="5" applyBorder="1" applyAlignment="1">
      <alignment horizontal="center"/>
    </xf>
    <xf numFmtId="0" fontId="6" fillId="6" borderId="7" xfId="5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0" fillId="7" borderId="3" xfId="0" applyFill="1" applyBorder="1"/>
    <xf numFmtId="0" fontId="4" fillId="7" borderId="3" xfId="6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3" borderId="14" xfId="2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6" applyBorder="1" applyAlignment="1">
      <alignment horizontal="center" vertical="center"/>
    </xf>
    <xf numFmtId="0" fontId="1" fillId="2" borderId="15" xfId="1" applyBorder="1" applyAlignment="1">
      <alignment horizontal="center"/>
    </xf>
    <xf numFmtId="0" fontId="8" fillId="0" borderId="0" xfId="0" applyFont="1"/>
    <xf numFmtId="0" fontId="4" fillId="0" borderId="3" xfId="6" applyBorder="1"/>
    <xf numFmtId="0" fontId="4" fillId="0" borderId="0" xfId="6"/>
    <xf numFmtId="0" fontId="9" fillId="0" borderId="0" xfId="0" applyFont="1"/>
    <xf numFmtId="0" fontId="4" fillId="0" borderId="3" xfId="6" applyBorder="1"/>
    <xf numFmtId="0" fontId="3" fillId="4" borderId="17" xfId="3" applyBorder="1" applyAlignment="1">
      <alignment horizontal="center"/>
    </xf>
    <xf numFmtId="0" fontId="3" fillId="4" borderId="18" xfId="3" applyBorder="1" applyAlignment="1">
      <alignment horizontal="center"/>
    </xf>
    <xf numFmtId="0" fontId="3" fillId="4" borderId="4" xfId="3" applyBorder="1" applyAlignment="1">
      <alignment horizontal="center"/>
    </xf>
    <xf numFmtId="0" fontId="3" fillId="4" borderId="0" xfId="3" applyBorder="1" applyAlignment="1">
      <alignment horizontal="center"/>
    </xf>
    <xf numFmtId="0" fontId="3" fillId="4" borderId="3" xfId="3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7" xfId="3" applyBorder="1" applyAlignment="1">
      <alignment horizontal="center"/>
    </xf>
  </cellXfs>
  <cellStyles count="7">
    <cellStyle name="Accent2" xfId="5" builtinId="33"/>
    <cellStyle name="Check Cell" xfId="3" builtinId="23"/>
    <cellStyle name="Hyperlink" xfId="6" builtinId="8"/>
    <cellStyle name="Input" xfId="4" builtinId="20"/>
    <cellStyle name="Neutral" xfId="1" builtinId="2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ectrokit.com/temperatursensor-ntc" TargetMode="External"/><Relationship Id="rId18" Type="http://schemas.openxmlformats.org/officeDocument/2006/relationships/hyperlink" Target="https://www.electrokit.com/upload/quick/ea/2d/5b25_41032662-tds.pdf" TargetMode="External"/><Relationship Id="rId26" Type="http://schemas.openxmlformats.org/officeDocument/2006/relationships/hyperlink" Target="https://www.electrokit.com/hs-422-standard-servo-0.4nm" TargetMode="External"/><Relationship Id="rId39" Type="http://schemas.openxmlformats.org/officeDocument/2006/relationships/hyperlink" Target="https://www.elfa.se/en/stranded-wire-pvc-60v-5mm-copper-red-rkub-10m-nemiq-050667-10/p/30387783?pos=5&amp;origPos=6&amp;pageSize=25&amp;origPageSize=50&amp;track=true&amp;filterapplied=filter_discrosssectionawgnum_en_ds%3D16%26filter_disjacketcolourtxt_en_ss%3DBlack%26filter_disconductormaterialtxt_en_ss%3DCopper&amp;sid=MBoS6NkrxN&amp;itemList=category" TargetMode="External"/><Relationship Id="rId21" Type="http://schemas.openxmlformats.org/officeDocument/2006/relationships/hyperlink" Target="https://www.electrokit.com/upload/product/41016/41016255/drv8825.pdf" TargetMode="External"/><Relationship Id="rId34" Type="http://schemas.openxmlformats.org/officeDocument/2006/relationships/hyperlink" Target="https://www.electrokit.com/upload/quick/1f/be/9861_H05V-K.pdf" TargetMode="External"/><Relationship Id="rId42" Type="http://schemas.openxmlformats.org/officeDocument/2006/relationships/hyperlink" Target="https://se.rs-online.com/web/p/potentiometers/8427021?gb=s" TargetMode="External"/><Relationship Id="rId47" Type="http://schemas.openxmlformats.org/officeDocument/2006/relationships/hyperlink" Target="https://www.electrokit.com/en/dc-dc-omvandlare-1.2-35v-8a" TargetMode="External"/><Relationship Id="rId50" Type="http://schemas.openxmlformats.org/officeDocument/2006/relationships/hyperlink" Target="https://se.rs-online.com/web/p/emergency-stop-push-buttons/1682629?gb=s" TargetMode="External"/><Relationship Id="rId55" Type="http://schemas.openxmlformats.org/officeDocument/2006/relationships/hyperlink" Target="https://www.3dprima.com/se/reservdelar-tillbehoer/oevriga/post-processing/ruthex-m3-threaded-insert-rx-m3x5-7-100-pcs_30175_12611" TargetMode="External"/><Relationship Id="rId7" Type="http://schemas.openxmlformats.org/officeDocument/2006/relationships/hyperlink" Target="https://www.electrokit.com/rorelsegivare-6dof-lsm6dso32" TargetMode="External"/><Relationship Id="rId2" Type="http://schemas.openxmlformats.org/officeDocument/2006/relationships/hyperlink" Target="https://www.electrokit.com/upload/product/41017/41017943/lsm6dsox-and-ism330dhc-6-dof-imu.pdf" TargetMode="External"/><Relationship Id="rId16" Type="http://schemas.openxmlformats.org/officeDocument/2006/relationships/hyperlink" Target="https://www.electrokit.com/upload/product/41015/41015732/41015732_-_Analog_Temperature_Sensor.pdf" TargetMode="External"/><Relationship Id="rId29" Type="http://schemas.openxmlformats.org/officeDocument/2006/relationships/hyperlink" Target="https://www.electrokit.com/upload/product/41013/41013008/2010-10-26-DataSheet-FSR400-Layout2.pdf" TargetMode="External"/><Relationship Id="rId11" Type="http://schemas.openxmlformats.org/officeDocument/2006/relationships/hyperlink" Target="https://www.electrokit.com/rorelsegivare-6dof-lsm6dso32" TargetMode="External"/><Relationship Id="rId24" Type="http://schemas.openxmlformats.org/officeDocument/2006/relationships/hyperlink" Target="https://www.electrokit.com/pca82c251t/ym-so-8-can-bus-transceiver" TargetMode="External"/><Relationship Id="rId32" Type="http://schemas.openxmlformats.org/officeDocument/2006/relationships/hyperlink" Target="https://docs.rs-online.com/3aeb/A700000006666475.pdf" TargetMode="External"/><Relationship Id="rId37" Type="http://schemas.openxmlformats.org/officeDocument/2006/relationships/hyperlink" Target="https://www.electrokit.com/rk-0.5mm2-gul-/m" TargetMode="External"/><Relationship Id="rId40" Type="http://schemas.openxmlformats.org/officeDocument/2006/relationships/hyperlink" Target="https://media.distrelec.com/Web/Downloads/_t/ds/050660-10_eng_tds.pdf" TargetMode="External"/><Relationship Id="rId45" Type="http://schemas.openxmlformats.org/officeDocument/2006/relationships/hyperlink" Target="https://docs.rs-online.com/4380/0900766b8142cdd4.pdf" TargetMode="External"/><Relationship Id="rId53" Type="http://schemas.openxmlformats.org/officeDocument/2006/relationships/hyperlink" Target="https://www.kullagergrossisten.se/product/10x15x4-gummi-metalltat--avid" TargetMode="External"/><Relationship Id="rId58" Type="http://schemas.openxmlformats.org/officeDocument/2006/relationships/hyperlink" Target="https://se.rs-online.com/web/p/lead-screws/8854987" TargetMode="External"/><Relationship Id="rId5" Type="http://schemas.openxmlformats.org/officeDocument/2006/relationships/hyperlink" Target="https://www.waveshare.com/wiki/ESP32-C3-Zero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emanual.robotis.com/docs/en/dxl/ax/ax-12a/" TargetMode="External"/><Relationship Id="rId14" Type="http://schemas.openxmlformats.org/officeDocument/2006/relationships/hyperlink" Target="https://www.electrokit.com/upload/product/41015/41015732/41015732_-_Analog_Temperature_Sensor.pdf" TargetMode="External"/><Relationship Id="rId22" Type="http://schemas.openxmlformats.org/officeDocument/2006/relationships/hyperlink" Target="https://www.electrokit.com/stegmotor-nema23-1.83nm" TargetMode="External"/><Relationship Id="rId27" Type="http://schemas.openxmlformats.org/officeDocument/2006/relationships/hyperlink" Target="https://www.electrokit.com/upload/product/41002/41002565/hs422.pdf" TargetMode="External"/><Relationship Id="rId30" Type="http://schemas.openxmlformats.org/officeDocument/2006/relationships/hyperlink" Target="https://www.electrokit.com/stiftlist-2.54mm-1x40p-brytbar" TargetMode="External"/><Relationship Id="rId35" Type="http://schemas.openxmlformats.org/officeDocument/2006/relationships/hyperlink" Target="https://www.electrokit.com/rk-0.5mm2-gron-/m" TargetMode="External"/><Relationship Id="rId43" Type="http://schemas.openxmlformats.org/officeDocument/2006/relationships/hyperlink" Target="https://docs.rs-online.com/56b9/0900766b81584534.pdf" TargetMode="External"/><Relationship Id="rId48" Type="http://schemas.openxmlformats.org/officeDocument/2006/relationships/hyperlink" Target="https://d3s5r33r268y59.cloudfront.net/datasheets/9604/2017-05-07-18-19-11/PMS0058-PMW3360DM-T2QU-DS-R1.50-26092016._20161202173741.pdf" TargetMode="External"/><Relationship Id="rId56" Type="http://schemas.openxmlformats.org/officeDocument/2006/relationships/hyperlink" Target="https://www.3dprima.com/se/reservdelar-tillbehoer/oevriga/post-processing/ruthex-m5-threaded-insert-rx-m5x9-5-50-pcs_30181_12617" TargetMode="External"/><Relationship Id="rId8" Type="http://schemas.openxmlformats.org/officeDocument/2006/relationships/hyperlink" Target="https://www.electrokit.com/utvecklingskort-esp32-c3" TargetMode="External"/><Relationship Id="rId51" Type="http://schemas.openxmlformats.org/officeDocument/2006/relationships/hyperlink" Target="https://docs.rs-online.com/f173/0900766b8166e4e7.pdf" TargetMode="External"/><Relationship Id="rId3" Type="http://schemas.openxmlformats.org/officeDocument/2006/relationships/hyperlink" Target="https://www.electrokit.com/rorelsegivare-6dof-lsm6dso32" TargetMode="External"/><Relationship Id="rId12" Type="http://schemas.openxmlformats.org/officeDocument/2006/relationships/hyperlink" Target="https://www.electrokit.com/utvecklingskort-esp32-c3" TargetMode="External"/><Relationship Id="rId17" Type="http://schemas.openxmlformats.org/officeDocument/2006/relationships/hyperlink" Target="https://www.electrokit.com/stegmotor-nema17-1.80.45nm" TargetMode="External"/><Relationship Id="rId25" Type="http://schemas.openxmlformats.org/officeDocument/2006/relationships/hyperlink" Target="https://www.electrokit.com/upload/product/41015/41015078/PCA82C251.pdf" TargetMode="External"/><Relationship Id="rId33" Type="http://schemas.openxmlformats.org/officeDocument/2006/relationships/hyperlink" Target="https://www.elgiganten.se/product/sport-fritid/leksaker/radiostyrda-fordon-tillbehor/reservdelar-for-radiostyrda-fordon/amewi-standard-servo-hv2060mg-digital-servo/485939?utm_source=prisjakt&amp;utm_medium=pricecomparison&amp;utm_campaign=pricecompcpc2425_MTUTIC_7022598611489539&amp;utm_content=marketplace&amp;utm_strategy=prisjakt" TargetMode="External"/><Relationship Id="rId38" Type="http://schemas.openxmlformats.org/officeDocument/2006/relationships/hyperlink" Target="https://media.distrelec.com/Web/Downloads/_t/ds/050667-10_eng_tds.pdf" TargetMode="External"/><Relationship Id="rId46" Type="http://schemas.openxmlformats.org/officeDocument/2006/relationships/hyperlink" Target="https://www.electrokit.com/skruvplint-2.54mm-2-pol" TargetMode="External"/><Relationship Id="rId59" Type="http://schemas.openxmlformats.org/officeDocument/2006/relationships/hyperlink" Target="https://se.rs-online.com/web/p/lead-screw-nuts/8854827" TargetMode="External"/><Relationship Id="rId20" Type="http://schemas.openxmlformats.org/officeDocument/2006/relationships/hyperlink" Target="https://www.electrokit.com/stegmotordrivare-drv8825" TargetMode="External"/><Relationship Id="rId41" Type="http://schemas.openxmlformats.org/officeDocument/2006/relationships/hyperlink" Target="https://www.elfa.se/en/stranded-wire-pvc-60v-5mm-copper-black-rkub-10m-nemiq-050660-10/p/30387779?pos=5&amp;origPos=8&amp;pageSize=25&amp;origPageSize=50&amp;track=true&amp;filterapplied=filter_discrosssectionawgnum_en_ds%3D16%26filter_disjacketcolourtxt_en_ss%3DBlack%26filter_disconductormaterialtxt_en_ss%3DCopper&amp;sid=MBoS6NkrxN&amp;itemList=category" TargetMode="External"/><Relationship Id="rId54" Type="http://schemas.openxmlformats.org/officeDocument/2006/relationships/hyperlink" Target="https://www.kullagergrossisten.se/product/15x21x4-gummitatat--abec-5-" TargetMode="External"/><Relationship Id="rId1" Type="http://schemas.openxmlformats.org/officeDocument/2006/relationships/hyperlink" Target="https://www.waveshare.com/wiki/ESP32-C3-Zero" TargetMode="External"/><Relationship Id="rId6" Type="http://schemas.openxmlformats.org/officeDocument/2006/relationships/hyperlink" Target="https://www.electrokit.com/upload/product/41017/41017943/lsm6dsox-and-ism330dhc-6-dof-imu.pdf" TargetMode="External"/><Relationship Id="rId15" Type="http://schemas.openxmlformats.org/officeDocument/2006/relationships/hyperlink" Target="https://www.electrokit.com/temperatursensor-ntc" TargetMode="External"/><Relationship Id="rId23" Type="http://schemas.openxmlformats.org/officeDocument/2006/relationships/hyperlink" Target="https://www.electrokit.com/upload/quick/e6/0c/2f07_41032667-tds.pdf" TargetMode="External"/><Relationship Id="rId28" Type="http://schemas.openxmlformats.org/officeDocument/2006/relationships/hyperlink" Target="https://www.electrokit.com/tryckkansligt-motstand-0.3" TargetMode="External"/><Relationship Id="rId36" Type="http://schemas.openxmlformats.org/officeDocument/2006/relationships/hyperlink" Target="https://www.electrokit.com/upload/quick/1f/be/9861_H05V-K.pdf" TargetMode="External"/><Relationship Id="rId49" Type="http://schemas.openxmlformats.org/officeDocument/2006/relationships/hyperlink" Target="https://github.com/mrjohnk/PMW3360DM-T2QU" TargetMode="External"/><Relationship Id="rId57" Type="http://schemas.openxmlformats.org/officeDocument/2006/relationships/hyperlink" Target="https://www.remlagret.se/products/61809-2rs1-skf-kullager-45x58x7" TargetMode="External"/><Relationship Id="rId10" Type="http://schemas.openxmlformats.org/officeDocument/2006/relationships/hyperlink" Target="https://www.electrokit.com/upload/product/41017/41017943/lsm6dsox-and-ism330dhc-6-dof-imu.pdf" TargetMode="External"/><Relationship Id="rId31" Type="http://schemas.openxmlformats.org/officeDocument/2006/relationships/hyperlink" Target="https://se.rs-online.com/web/p/can-interface-ics/1977506?gb=s" TargetMode="External"/><Relationship Id="rId44" Type="http://schemas.openxmlformats.org/officeDocument/2006/relationships/hyperlink" Target="https://se.rs-online.com/web/p/vibration-sensors/8937177?gb=s" TargetMode="External"/><Relationship Id="rId52" Type="http://schemas.openxmlformats.org/officeDocument/2006/relationships/hyperlink" Target="https://servodatabase.com/servo/jx-servo/pdi-hv2060mg" TargetMode="External"/><Relationship Id="rId60" Type="http://schemas.openxmlformats.org/officeDocument/2006/relationships/hyperlink" Target="https://www.electrokit.com/lead-screw-tr88-metric-acme-lead-screw-281mm" TargetMode="External"/><Relationship Id="rId4" Type="http://schemas.openxmlformats.org/officeDocument/2006/relationships/hyperlink" Target="https://www.electrokit.com/utvecklingskort-esp32-c3" TargetMode="External"/><Relationship Id="rId9" Type="http://schemas.openxmlformats.org/officeDocument/2006/relationships/hyperlink" Target="https://www.waveshare.com/wiki/ESP32-C3-Z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7CE-E617-4D50-AFD1-A7FBE5E9BB58}">
  <dimension ref="A1:G77"/>
  <sheetViews>
    <sheetView tabSelected="1" workbookViewId="0">
      <selection activeCell="A13" sqref="A13"/>
    </sheetView>
  </sheetViews>
  <sheetFormatPr defaultRowHeight="15"/>
  <cols>
    <col min="1" max="1" width="28.85546875" bestFit="1" customWidth="1"/>
    <col min="2" max="2" width="15.28515625" customWidth="1"/>
    <col min="3" max="3" width="16.28515625" customWidth="1"/>
    <col min="5" max="5" width="13.140625" bestFit="1" customWidth="1"/>
  </cols>
  <sheetData>
    <row r="1" spans="1:5">
      <c r="A1" s="3" t="s">
        <v>0</v>
      </c>
      <c r="B1" s="3" t="s">
        <v>1</v>
      </c>
      <c r="C1" s="4" t="s">
        <v>2</v>
      </c>
      <c r="D1" s="10" t="s">
        <v>3</v>
      </c>
      <c r="E1" s="11" t="s">
        <v>4</v>
      </c>
    </row>
    <row r="2" spans="1:5">
      <c r="A2" s="33" t="s">
        <v>5</v>
      </c>
      <c r="B2" s="34"/>
      <c r="C2" s="34"/>
      <c r="D2" s="34"/>
      <c r="E2" s="34"/>
    </row>
    <row r="3" spans="1:5">
      <c r="A3" s="2" t="s">
        <v>6</v>
      </c>
      <c r="B3" s="5" t="s">
        <v>1</v>
      </c>
      <c r="C3" s="5" t="s">
        <v>7</v>
      </c>
      <c r="D3" s="7">
        <v>3</v>
      </c>
      <c r="E3" s="6">
        <v>99</v>
      </c>
    </row>
    <row r="4" spans="1:5">
      <c r="A4" s="2" t="s">
        <v>8</v>
      </c>
      <c r="B4" s="5" t="s">
        <v>1</v>
      </c>
      <c r="C4" s="5" t="s">
        <v>7</v>
      </c>
      <c r="D4" s="7">
        <v>2</v>
      </c>
      <c r="E4" s="6">
        <v>79</v>
      </c>
    </row>
    <row r="5" spans="1:5">
      <c r="A5" s="2" t="s">
        <v>9</v>
      </c>
      <c r="B5" s="5" t="s">
        <v>1</v>
      </c>
      <c r="C5" s="5" t="s">
        <v>7</v>
      </c>
      <c r="D5" s="7">
        <v>2</v>
      </c>
      <c r="E5" s="6">
        <v>215</v>
      </c>
    </row>
    <row r="6" spans="1:5">
      <c r="A6" s="2" t="s">
        <v>10</v>
      </c>
      <c r="B6" s="5" t="s">
        <v>1</v>
      </c>
      <c r="C6" s="5" t="s">
        <v>7</v>
      </c>
      <c r="D6" s="7">
        <v>2</v>
      </c>
      <c r="E6" s="6">
        <v>29</v>
      </c>
    </row>
    <row r="7" spans="1:5">
      <c r="A7" s="2" t="s">
        <v>11</v>
      </c>
      <c r="B7" s="5" t="s">
        <v>1</v>
      </c>
      <c r="C7" s="5" t="s">
        <v>12</v>
      </c>
      <c r="D7" s="7">
        <v>10</v>
      </c>
      <c r="E7" s="6">
        <v>31.448</v>
      </c>
    </row>
    <row r="8" spans="1:5">
      <c r="A8" s="18" t="s">
        <v>13</v>
      </c>
      <c r="B8" s="19" t="s">
        <v>1</v>
      </c>
      <c r="C8" s="19" t="s">
        <v>7</v>
      </c>
      <c r="D8" s="20">
        <v>3</v>
      </c>
      <c r="E8" s="21">
        <v>129</v>
      </c>
    </row>
    <row r="9" spans="1:5">
      <c r="A9" s="18" t="s">
        <v>14</v>
      </c>
      <c r="B9" s="19"/>
      <c r="C9" s="19" t="s">
        <v>7</v>
      </c>
      <c r="D9" s="20">
        <v>10</v>
      </c>
      <c r="E9" s="21">
        <v>9.5</v>
      </c>
    </row>
    <row r="10" spans="1:5">
      <c r="A10" s="2" t="s">
        <v>15</v>
      </c>
      <c r="B10" s="24" t="s">
        <v>1</v>
      </c>
      <c r="C10" s="24" t="s">
        <v>16</v>
      </c>
      <c r="D10" s="6"/>
      <c r="E10" s="6"/>
    </row>
    <row r="11" spans="1:5">
      <c r="A11" s="2" t="s">
        <v>17</v>
      </c>
      <c r="B11" s="23"/>
      <c r="C11" s="24" t="s">
        <v>7</v>
      </c>
      <c r="D11" s="6">
        <v>25</v>
      </c>
      <c r="E11" s="6">
        <v>5.6</v>
      </c>
    </row>
    <row r="12" spans="1:5">
      <c r="A12" s="2" t="s">
        <v>18</v>
      </c>
      <c r="B12" s="24" t="s">
        <v>1</v>
      </c>
      <c r="C12" s="24" t="s">
        <v>12</v>
      </c>
      <c r="D12" s="6">
        <v>1</v>
      </c>
      <c r="E12" s="6">
        <v>277</v>
      </c>
    </row>
    <row r="13" spans="1:5">
      <c r="A13" s="2" t="s">
        <v>19</v>
      </c>
      <c r="B13" s="5" t="s">
        <v>1</v>
      </c>
      <c r="C13" s="5" t="s">
        <v>20</v>
      </c>
      <c r="D13" s="6">
        <v>8</v>
      </c>
      <c r="E13" s="6">
        <v>39</v>
      </c>
    </row>
    <row r="14" spans="1:5">
      <c r="A14" s="2"/>
      <c r="B14" s="23"/>
      <c r="C14" s="23"/>
      <c r="D14" s="6"/>
      <c r="E14" s="6"/>
    </row>
    <row r="15" spans="1:5">
      <c r="A15" s="2"/>
      <c r="B15" s="23"/>
      <c r="C15" s="23"/>
      <c r="D15" s="6"/>
      <c r="E15" s="6"/>
    </row>
    <row r="16" spans="1:5">
      <c r="A16" s="2"/>
      <c r="B16" s="23"/>
      <c r="C16" s="23"/>
      <c r="D16" s="6"/>
      <c r="E16" s="6"/>
    </row>
    <row r="17" spans="1:5">
      <c r="A17" s="2"/>
      <c r="B17" s="23"/>
      <c r="C17" s="23"/>
      <c r="D17" s="6"/>
      <c r="E17" s="6"/>
    </row>
    <row r="18" spans="1:5">
      <c r="A18" s="36" t="s">
        <v>21</v>
      </c>
      <c r="B18" s="37"/>
      <c r="C18" s="37"/>
      <c r="D18" s="38"/>
      <c r="E18" s="22">
        <f>SUM(E3*D3+E4*D4+E5*D5+E6*D6+E7*D7+E8*D8+E9*D9+E10*D10+E11*D11+E12*D12+E13+D13+E14*D14+E15*D15+E16*D16+E17*D17)</f>
        <v>2203.48</v>
      </c>
    </row>
    <row r="19" spans="1:5">
      <c r="A19" s="35" t="s">
        <v>22</v>
      </c>
      <c r="B19" s="35"/>
      <c r="C19" s="35"/>
      <c r="D19" s="35"/>
      <c r="E19" s="35"/>
    </row>
    <row r="20" spans="1:5">
      <c r="A20" s="2" t="s">
        <v>8</v>
      </c>
      <c r="B20" s="5" t="s">
        <v>1</v>
      </c>
      <c r="C20" s="5" t="s">
        <v>7</v>
      </c>
      <c r="D20" s="7">
        <v>2</v>
      </c>
      <c r="E20" s="6">
        <v>79</v>
      </c>
    </row>
    <row r="21" spans="1:5">
      <c r="A21" s="2" t="s">
        <v>9</v>
      </c>
      <c r="B21" s="5" t="s">
        <v>1</v>
      </c>
      <c r="C21" s="5" t="s">
        <v>7</v>
      </c>
      <c r="D21" s="7">
        <v>3</v>
      </c>
      <c r="E21" s="6">
        <v>215</v>
      </c>
    </row>
    <row r="22" spans="1:5">
      <c r="A22" s="2" t="s">
        <v>10</v>
      </c>
      <c r="B22" s="5" t="s">
        <v>1</v>
      </c>
      <c r="C22" s="5" t="s">
        <v>7</v>
      </c>
      <c r="D22" s="7">
        <v>3</v>
      </c>
      <c r="E22" s="6">
        <v>29</v>
      </c>
    </row>
    <row r="23" spans="1:5">
      <c r="A23" s="2" t="s">
        <v>23</v>
      </c>
      <c r="B23" s="5" t="s">
        <v>1</v>
      </c>
      <c r="C23" s="6"/>
      <c r="D23" s="7"/>
      <c r="E23" s="6"/>
    </row>
    <row r="24" spans="1:5">
      <c r="A24" s="2" t="s">
        <v>24</v>
      </c>
      <c r="B24" s="5" t="s">
        <v>1</v>
      </c>
      <c r="C24" s="5" t="s">
        <v>7</v>
      </c>
      <c r="D24" s="6">
        <v>3</v>
      </c>
      <c r="E24" s="6">
        <v>199</v>
      </c>
    </row>
    <row r="25" spans="1:5">
      <c r="A25" s="2" t="s">
        <v>25</v>
      </c>
      <c r="B25" s="5" t="s">
        <v>1</v>
      </c>
      <c r="C25" s="5" t="s">
        <v>7</v>
      </c>
      <c r="D25" s="6">
        <v>10</v>
      </c>
      <c r="E25" s="6">
        <v>79</v>
      </c>
    </row>
    <row r="26" spans="1:5">
      <c r="A26" s="2" t="s">
        <v>26</v>
      </c>
      <c r="B26" s="5" t="s">
        <v>1</v>
      </c>
      <c r="C26" s="5" t="s">
        <v>7</v>
      </c>
      <c r="D26" s="6">
        <v>2</v>
      </c>
      <c r="E26" s="6">
        <v>629</v>
      </c>
    </row>
    <row r="27" spans="1:5">
      <c r="A27" s="2" t="s">
        <v>27</v>
      </c>
      <c r="B27" s="5" t="s">
        <v>1</v>
      </c>
      <c r="C27" s="5" t="s">
        <v>28</v>
      </c>
      <c r="D27" s="6">
        <v>2</v>
      </c>
      <c r="E27" s="6">
        <v>790</v>
      </c>
    </row>
    <row r="28" spans="1:5">
      <c r="A28" s="2" t="s">
        <v>29</v>
      </c>
      <c r="B28" s="5" t="s">
        <v>1</v>
      </c>
      <c r="C28" s="5" t="s">
        <v>7</v>
      </c>
      <c r="D28" s="6">
        <v>10</v>
      </c>
      <c r="E28" s="6">
        <v>4.5</v>
      </c>
    </row>
    <row r="29" spans="1:5">
      <c r="A29" s="2" t="s">
        <v>30</v>
      </c>
      <c r="B29" s="5" t="s">
        <v>1</v>
      </c>
      <c r="C29" s="5" t="s">
        <v>7</v>
      </c>
      <c r="D29" s="6">
        <v>10</v>
      </c>
      <c r="E29" s="6">
        <v>4.5</v>
      </c>
    </row>
    <row r="30" spans="1:5">
      <c r="A30" s="2" t="s">
        <v>31</v>
      </c>
      <c r="B30" s="5" t="s">
        <v>1</v>
      </c>
      <c r="C30" s="5" t="s">
        <v>32</v>
      </c>
      <c r="D30" s="6">
        <v>1</v>
      </c>
      <c r="E30" s="6">
        <v>147</v>
      </c>
    </row>
    <row r="31" spans="1:5">
      <c r="A31" s="2" t="s">
        <v>33</v>
      </c>
      <c r="B31" s="5" t="s">
        <v>1</v>
      </c>
      <c r="C31" s="5" t="s">
        <v>32</v>
      </c>
      <c r="D31" s="6">
        <v>1</v>
      </c>
      <c r="E31" s="6">
        <v>147</v>
      </c>
    </row>
    <row r="32" spans="1:5">
      <c r="A32" s="2" t="s">
        <v>34</v>
      </c>
      <c r="B32" s="24" t="s">
        <v>1</v>
      </c>
      <c r="C32" s="24" t="s">
        <v>35</v>
      </c>
      <c r="D32" s="6">
        <v>6</v>
      </c>
      <c r="E32" s="6" t="s">
        <v>36</v>
      </c>
    </row>
    <row r="33" spans="1:5">
      <c r="A33" s="2" t="s">
        <v>37</v>
      </c>
      <c r="B33" s="23"/>
      <c r="C33" s="24" t="s">
        <v>7</v>
      </c>
      <c r="D33" s="6">
        <v>4</v>
      </c>
      <c r="E33" s="6">
        <v>149</v>
      </c>
    </row>
    <row r="34" spans="1:5">
      <c r="A34" s="2"/>
      <c r="B34" s="24"/>
      <c r="C34" s="24"/>
      <c r="D34" s="6"/>
      <c r="E34" s="6"/>
    </row>
    <row r="35" spans="1:5">
      <c r="A35" s="2"/>
      <c r="B35" s="23"/>
      <c r="C35" s="23"/>
      <c r="D35" s="6"/>
      <c r="E35" s="6"/>
    </row>
    <row r="36" spans="1:5">
      <c r="A36" s="2"/>
      <c r="B36" s="23"/>
      <c r="C36" s="23"/>
      <c r="D36" s="6"/>
      <c r="E36" s="6"/>
    </row>
    <row r="37" spans="1:5">
      <c r="A37" s="2"/>
      <c r="B37" s="23"/>
      <c r="C37" s="23"/>
      <c r="D37" s="6"/>
      <c r="E37" s="6"/>
    </row>
    <row r="38" spans="1:5">
      <c r="A38" s="2"/>
      <c r="B38" s="23"/>
      <c r="C38" s="23"/>
      <c r="D38" s="6"/>
      <c r="E38" s="6"/>
    </row>
    <row r="39" spans="1:5">
      <c r="A39" s="2"/>
      <c r="B39" s="23"/>
      <c r="C39" s="23"/>
      <c r="D39" s="6"/>
      <c r="E39" s="6"/>
    </row>
    <row r="40" spans="1:5">
      <c r="A40" s="39" t="s">
        <v>21</v>
      </c>
      <c r="B40" s="40"/>
      <c r="C40" s="40"/>
      <c r="D40" s="41"/>
      <c r="E40" s="3">
        <f>SUM(E20*D20+E21*D21+E22*D22+E23*D23+E24*D24+E25*D25+E26*D26+E27*D27)</f>
        <v>5115</v>
      </c>
    </row>
    <row r="41" spans="1:5">
      <c r="A41" s="42" t="s">
        <v>38</v>
      </c>
      <c r="B41" s="43"/>
      <c r="C41" s="43"/>
      <c r="D41" s="43"/>
      <c r="E41" s="44"/>
    </row>
    <row r="42" spans="1:5">
      <c r="A42" s="2" t="s">
        <v>8</v>
      </c>
      <c r="B42" s="5" t="s">
        <v>1</v>
      </c>
      <c r="C42" s="5" t="s">
        <v>20</v>
      </c>
      <c r="D42" s="7">
        <v>3</v>
      </c>
      <c r="E42" s="6">
        <v>79</v>
      </c>
    </row>
    <row r="43" spans="1:5">
      <c r="A43" s="2" t="s">
        <v>9</v>
      </c>
      <c r="B43" s="5" t="s">
        <v>1</v>
      </c>
      <c r="C43" s="5" t="s">
        <v>20</v>
      </c>
      <c r="D43" s="7">
        <v>3</v>
      </c>
      <c r="E43" s="6">
        <v>215</v>
      </c>
    </row>
    <row r="44" spans="1:5">
      <c r="A44" s="2" t="s">
        <v>39</v>
      </c>
      <c r="B44" s="5" t="s">
        <v>1</v>
      </c>
      <c r="C44" s="5" t="s">
        <v>12</v>
      </c>
      <c r="D44" s="7">
        <v>1</v>
      </c>
      <c r="E44" s="6">
        <v>121.7</v>
      </c>
    </row>
    <row r="45" spans="1:5">
      <c r="A45" s="2"/>
      <c r="B45" s="6"/>
      <c r="C45" s="6"/>
      <c r="D45" s="7"/>
      <c r="E45" s="6"/>
    </row>
    <row r="46" spans="1:5">
      <c r="A46" s="2"/>
      <c r="B46" s="6"/>
      <c r="C46" s="6"/>
      <c r="D46" s="7"/>
      <c r="E46" s="6"/>
    </row>
    <row r="47" spans="1:5">
      <c r="A47" s="2"/>
      <c r="B47" s="6"/>
      <c r="C47" s="6"/>
      <c r="D47" s="7"/>
      <c r="E47" s="6"/>
    </row>
    <row r="48" spans="1:5">
      <c r="A48" s="2"/>
      <c r="B48" s="6"/>
      <c r="C48" s="6"/>
      <c r="D48" s="7"/>
      <c r="E48" s="6"/>
    </row>
    <row r="49" spans="1:7">
      <c r="A49" s="2"/>
      <c r="B49" s="2"/>
      <c r="C49" s="2"/>
      <c r="D49" s="2"/>
      <c r="E49" s="2"/>
    </row>
    <row r="50" spans="1:7" ht="15.75" thickBot="1">
      <c r="A50" s="15" t="s">
        <v>21</v>
      </c>
      <c r="B50" s="16"/>
      <c r="C50" s="16"/>
      <c r="D50" s="17"/>
      <c r="E50" s="8">
        <f>SUM(E42*D42+E43*D43+E44*D44+E45*D45+E46*D46+E47*D47+E48*D48+E49*D49)</f>
        <v>1003.7</v>
      </c>
    </row>
    <row r="51" spans="1:7" ht="15.75" thickTop="1">
      <c r="A51" s="1" t="s">
        <v>40</v>
      </c>
      <c r="B51" s="31"/>
      <c r="C51" s="31"/>
      <c r="D51" s="31"/>
      <c r="E51" s="32"/>
    </row>
    <row r="52" spans="1:7">
      <c r="A52" s="2" t="s">
        <v>41</v>
      </c>
      <c r="B52" s="2"/>
      <c r="C52" s="27" t="s">
        <v>42</v>
      </c>
      <c r="D52" s="2">
        <v>8</v>
      </c>
      <c r="E52" s="2">
        <v>15</v>
      </c>
      <c r="G52" t="s">
        <v>43</v>
      </c>
    </row>
    <row r="53" spans="1:7">
      <c r="A53" s="26" t="s">
        <v>44</v>
      </c>
      <c r="B53" s="2"/>
      <c r="C53" s="27" t="s">
        <v>45</v>
      </c>
      <c r="D53" s="2">
        <v>6</v>
      </c>
      <c r="E53" s="2">
        <v>19</v>
      </c>
    </row>
    <row r="54" spans="1:7">
      <c r="A54" s="26" t="s">
        <v>46</v>
      </c>
      <c r="B54" s="2"/>
      <c r="C54" s="27" t="s">
        <v>47</v>
      </c>
      <c r="D54" s="2">
        <v>2</v>
      </c>
      <c r="E54" s="2"/>
    </row>
    <row r="55" spans="1:7">
      <c r="A55" s="2" t="s">
        <v>48</v>
      </c>
      <c r="B55" s="2"/>
      <c r="C55" s="28" t="s">
        <v>49</v>
      </c>
      <c r="D55" s="2">
        <v>1</v>
      </c>
      <c r="E55" s="2">
        <v>99</v>
      </c>
    </row>
    <row r="56" spans="1:7">
      <c r="A56" s="26" t="s">
        <v>50</v>
      </c>
      <c r="B56" s="2"/>
      <c r="C56" s="27" t="s">
        <v>51</v>
      </c>
      <c r="D56" s="2">
        <v>1</v>
      </c>
      <c r="E56" s="2">
        <v>109</v>
      </c>
    </row>
    <row r="57" spans="1:7">
      <c r="A57" s="2" t="s">
        <v>52</v>
      </c>
      <c r="B57" s="2"/>
      <c r="C57" s="27"/>
      <c r="D57" s="2">
        <v>4</v>
      </c>
      <c r="E57" s="2"/>
      <c r="G57" t="s">
        <v>53</v>
      </c>
    </row>
    <row r="58" spans="1:7">
      <c r="A58" s="2" t="s">
        <v>54</v>
      </c>
      <c r="B58" s="2"/>
      <c r="C58" s="27"/>
      <c r="D58" s="2">
        <v>72</v>
      </c>
      <c r="E58" s="2"/>
    </row>
    <row r="59" spans="1:7">
      <c r="A59" s="26" t="s">
        <v>55</v>
      </c>
      <c r="B59" s="2"/>
      <c r="C59" s="27"/>
      <c r="D59" s="2">
        <v>7</v>
      </c>
      <c r="E59" s="2"/>
    </row>
    <row r="60" spans="1:7">
      <c r="A60" s="2" t="s">
        <v>56</v>
      </c>
      <c r="B60" s="2"/>
      <c r="C60" s="2"/>
      <c r="D60" s="2">
        <v>1</v>
      </c>
      <c r="E60" s="2"/>
    </row>
    <row r="61" spans="1:7">
      <c r="A61" s="2" t="s">
        <v>57</v>
      </c>
      <c r="B61" s="2"/>
      <c r="C61" s="2"/>
      <c r="D61" s="2">
        <v>1</v>
      </c>
      <c r="E61" s="2"/>
    </row>
    <row r="62" spans="1:7">
      <c r="A62" s="2" t="s">
        <v>58</v>
      </c>
      <c r="B62" s="2"/>
      <c r="C62" s="30" t="s">
        <v>7</v>
      </c>
      <c r="D62" s="2">
        <v>1</v>
      </c>
      <c r="E62" s="2">
        <v>110</v>
      </c>
    </row>
    <row r="63" spans="1:7">
      <c r="A63" s="2" t="s">
        <v>59</v>
      </c>
      <c r="B63" s="2"/>
      <c r="C63" s="30" t="s">
        <v>35</v>
      </c>
      <c r="D63" s="2">
        <v>1</v>
      </c>
      <c r="E63" s="2">
        <v>624.51</v>
      </c>
    </row>
    <row r="64" spans="1:7">
      <c r="A64" s="2" t="s">
        <v>60</v>
      </c>
      <c r="B64" s="2"/>
      <c r="C64" s="30" t="s">
        <v>35</v>
      </c>
      <c r="D64" s="2">
        <v>1</v>
      </c>
      <c r="E64" s="2">
        <v>1016.29</v>
      </c>
    </row>
    <row r="65" spans="1:5">
      <c r="A65" s="2" t="s">
        <v>61</v>
      </c>
      <c r="B65" s="2"/>
      <c r="C65" s="2"/>
      <c r="D65" s="2">
        <v>1</v>
      </c>
      <c r="E65" s="2"/>
    </row>
    <row r="66" spans="1:5">
      <c r="A66" s="2"/>
      <c r="B66" s="2"/>
      <c r="C66" s="2"/>
      <c r="D66" s="2"/>
      <c r="E66" s="2"/>
    </row>
    <row r="67" spans="1:5">
      <c r="A67" s="25" t="s">
        <v>21</v>
      </c>
      <c r="B67" s="25"/>
      <c r="C67" s="25"/>
      <c r="D67" s="25"/>
      <c r="E67" s="22">
        <f>SUM(D52*E52+D53*E53+D54*E54+D55*E55+D56*E56+D57*E57+D58*E58+D59*E59+D60*E60+D61*E61+D65*E65+D66*E66+D62*E62+D63*E63+D64*E64)</f>
        <v>2192.8000000000002</v>
      </c>
    </row>
    <row r="68" spans="1:5">
      <c r="A68" s="12" t="s">
        <v>62</v>
      </c>
      <c r="B68" s="13"/>
      <c r="C68" s="13"/>
      <c r="D68" s="14"/>
      <c r="E68" s="9">
        <f>SUM(E50,E40,E18,E67)</f>
        <v>10514.98</v>
      </c>
    </row>
    <row r="74" spans="1:5">
      <c r="A74" t="s">
        <v>63</v>
      </c>
    </row>
    <row r="75" spans="1:5">
      <c r="A75" s="29" t="s">
        <v>64</v>
      </c>
    </row>
    <row r="76" spans="1:5">
      <c r="A76" t="s">
        <v>65</v>
      </c>
    </row>
    <row r="77" spans="1:5">
      <c r="A77" t="s">
        <v>66</v>
      </c>
      <c r="B77" t="s">
        <v>67</v>
      </c>
    </row>
  </sheetData>
  <mergeCells count="6">
    <mergeCell ref="A51:E51"/>
    <mergeCell ref="A2:E2"/>
    <mergeCell ref="A19:E19"/>
    <mergeCell ref="A18:D18"/>
    <mergeCell ref="A40:D40"/>
    <mergeCell ref="A41:E41"/>
  </mergeCells>
  <hyperlinks>
    <hyperlink ref="B4" r:id="rId1" xr:uid="{538CB27D-AC20-46BB-9873-67CBC4E93453}"/>
    <hyperlink ref="B5" r:id="rId2" xr:uid="{337D48DC-A75F-4708-9716-61FBBD965E38}"/>
    <hyperlink ref="C5" r:id="rId3" display="Elektrokit" xr:uid="{6F7634F5-F950-46B0-8513-9EEF89BD1A66}"/>
    <hyperlink ref="C4" r:id="rId4" display="Elektrokit" xr:uid="{3B0AB6EB-4E58-4DC7-AD26-7F5E5607A54E}"/>
    <hyperlink ref="B20" r:id="rId5" xr:uid="{00502315-94FA-4242-BBEC-FCAB9B4A6EC9}"/>
    <hyperlink ref="B21" r:id="rId6" xr:uid="{9AD1F2ED-8A9A-4072-89BA-DE15ABD8E2F8}"/>
    <hyperlink ref="C21" r:id="rId7" display="Elektrokit" xr:uid="{90178DB3-FBFB-42CC-9CF4-5B439FB7427D}"/>
    <hyperlink ref="C20" r:id="rId8" display="Elektrokit" xr:uid="{8F86C17C-3F01-4433-A1EF-8205D1131AC5}"/>
    <hyperlink ref="B42" r:id="rId9" xr:uid="{AF38F5FE-68D5-4FD6-BF4F-8A0A3534D66D}"/>
    <hyperlink ref="B43" r:id="rId10" xr:uid="{A62B35A6-1933-4501-B7E9-C497FEF535DD}"/>
    <hyperlink ref="C43" r:id="rId11" xr:uid="{2865A878-80BB-458D-B5F8-F26A0AA67743}"/>
    <hyperlink ref="C42" r:id="rId12" xr:uid="{AE712ED1-331B-4B95-8BF6-1E81F585CF7C}"/>
    <hyperlink ref="C6" r:id="rId13" display="Elektrokit" xr:uid="{DA08D23D-7C87-45D1-91D7-6204AE944974}"/>
    <hyperlink ref="B6" r:id="rId14" xr:uid="{9B8AA1D1-87E5-4E48-86E6-3360AEFDDA3D}"/>
    <hyperlink ref="C22" r:id="rId15" display="Elektrokit" xr:uid="{C308467F-C4C0-4A89-9721-D0CD0776B1A4}"/>
    <hyperlink ref="B22" r:id="rId16" xr:uid="{2F9C6918-FA59-4F4D-B21D-A0FE407C775C}"/>
    <hyperlink ref="C24" r:id="rId17" xr:uid="{70BE542D-9DAC-47C2-9A83-9D68E5F95851}"/>
    <hyperlink ref="B24" r:id="rId18" xr:uid="{61A7B98F-6799-4235-96FD-DE10BF620F21}"/>
    <hyperlink ref="B23" r:id="rId19" xr:uid="{26DE506E-1920-4B2E-B1A8-0A1775937588}"/>
    <hyperlink ref="C25" r:id="rId20" xr:uid="{A4191F4B-7071-4EC7-B32E-DF6114BC049A}"/>
    <hyperlink ref="B25" r:id="rId21" xr:uid="{F9A977D8-EE16-4A07-86C1-90B0F1480108}"/>
    <hyperlink ref="C26" r:id="rId22" xr:uid="{A675B838-0CEE-467E-97C9-26151985CBED}"/>
    <hyperlink ref="B26" r:id="rId23" xr:uid="{D768E97C-A042-4B7F-AE48-B4CEDACC95ED}"/>
    <hyperlink ref="C13" r:id="rId24" xr:uid="{B715EE41-9760-4A25-892E-D8FFF3F31D30}"/>
    <hyperlink ref="B13" r:id="rId25" xr:uid="{5925CDA5-9911-4643-9AEB-9C3D1ACD2B10}"/>
    <hyperlink ref="C3" r:id="rId26" xr:uid="{67379DD5-2682-4888-B89F-B7C49D0D7114}"/>
    <hyperlink ref="B3" r:id="rId27" xr:uid="{64AF9EC0-E4E1-4545-A83C-CEBD51D97BA0}"/>
    <hyperlink ref="C8" r:id="rId28" xr:uid="{E5AD7C97-E90C-4686-AFE6-D74020E482C2}"/>
    <hyperlink ref="B8" r:id="rId29" xr:uid="{4F3127A6-CD96-4361-910F-0C4398D38476}"/>
    <hyperlink ref="C9" r:id="rId30" xr:uid="{F88A8164-193C-4AF5-A42F-EF577B58EFBA}"/>
    <hyperlink ref="C7" r:id="rId31" xr:uid="{366177B6-082A-464E-9CD7-167014731CC2}"/>
    <hyperlink ref="B7" r:id="rId32" xr:uid="{8D9BF7D4-0137-4667-A9BC-E68E34EFD9D2}"/>
    <hyperlink ref="C27" r:id="rId33" xr:uid="{DEBD92B9-D7AC-48E5-A0F9-D6D1C420E086}"/>
    <hyperlink ref="B28" r:id="rId34" xr:uid="{4D32B59F-03E2-4352-A21E-45965DDDFD19}"/>
    <hyperlink ref="C28" r:id="rId35" xr:uid="{5ADD862E-AAA9-4037-8E32-3247F31D03E4}"/>
    <hyperlink ref="B29" r:id="rId36" xr:uid="{F23BA395-4B7D-4A3A-9BB7-0B20699BE392}"/>
    <hyperlink ref="C29" r:id="rId37" xr:uid="{B535D492-F960-44EE-BB6D-A488F50DFFC0}"/>
    <hyperlink ref="B30" r:id="rId38" xr:uid="{8FA6E757-FB45-4B46-AEE7-9AEE7B1C7312}"/>
    <hyperlink ref="C30" r:id="rId39" xr:uid="{569D2E51-C6E9-40DF-9901-EC754F96FE5D}"/>
    <hyperlink ref="B31" r:id="rId40" xr:uid="{35511CC8-2331-408A-BE91-6048F40A66D4}"/>
    <hyperlink ref="C31" r:id="rId41" xr:uid="{EEEEBFF0-C5C2-412A-AAB0-A8D31E027649}"/>
    <hyperlink ref="C32" r:id="rId42" xr:uid="{9951F302-D7B3-48C1-9C0A-6CA8EF067170}"/>
    <hyperlink ref="B32" r:id="rId43" xr:uid="{F38EE07E-383B-487B-93F7-C025158B1F86}"/>
    <hyperlink ref="C44" r:id="rId44" xr:uid="{32121F21-F6DB-4ACD-BA79-F942237431FB}"/>
    <hyperlink ref="B44" r:id="rId45" xr:uid="{477708BB-51B7-4DFF-9B30-9559206621BD}"/>
    <hyperlink ref="C11" r:id="rId46" xr:uid="{4DE24C51-E5DF-4603-BB1B-FE3238A0F8F9}"/>
    <hyperlink ref="C33" r:id="rId47" xr:uid="{2E4710AA-9FD2-4B8E-8964-7C6F39F302AB}"/>
    <hyperlink ref="B10" r:id="rId48" xr:uid="{6D0C69B3-F898-4C37-B168-929F11C131E8}"/>
    <hyperlink ref="C10" r:id="rId49" xr:uid="{B0468C37-B7B4-4E94-A59B-665F07E8E64B}"/>
    <hyperlink ref="C12" r:id="rId50" xr:uid="{56A84D50-7F75-401B-8740-454DA4F73D9B}"/>
    <hyperlink ref="B12" r:id="rId51" xr:uid="{921F0E60-91D3-4C0A-88BE-B45B7EF18502}"/>
    <hyperlink ref="B27" r:id="rId52" xr:uid="{204358CF-B79B-4384-8751-A9A9A90621FE}"/>
    <hyperlink ref="C52" r:id="rId53" xr:uid="{849331E9-3B04-415B-8D6F-51B196BF211B}"/>
    <hyperlink ref="C53" r:id="rId54" xr:uid="{7AFCC1D0-1B8E-4C36-9177-E9CD95A444B3}"/>
    <hyperlink ref="C55" r:id="rId55" xr:uid="{A6D3FC8A-606F-4C4C-A568-DA6120F7DBAF}"/>
    <hyperlink ref="C56" r:id="rId56" xr:uid="{8845CB66-AC4F-4009-8C71-7AE62DCEBDE0}"/>
    <hyperlink ref="C54" r:id="rId57" xr:uid="{1CD3BA7A-09BB-4AD8-AB73-7A9C28BA44B0}"/>
    <hyperlink ref="C64" r:id="rId58" xr:uid="{0962CD9A-311D-4D87-814C-33EE23824A90}"/>
    <hyperlink ref="C63" r:id="rId59" xr:uid="{BAE5634E-199D-439E-BFC9-857C7CD96C02}"/>
    <hyperlink ref="C62" r:id="rId60" xr:uid="{7B9ACFFE-FBF6-499C-96D4-7C553F711242}"/>
  </hyperlinks>
  <pageMargins left="0.7" right="0.7" top="0.75" bottom="0.75" header="0.3" footer="0.3"/>
  <pageSetup paperSize="9" orientation="portrait" r:id="rId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938E566030254799E43F122EA7AE25" ma:contentTypeVersion="15" ma:contentTypeDescription="Create a new document." ma:contentTypeScope="" ma:versionID="df5d227f299b7d5cb6052deeefe1f83c">
  <xsd:schema xmlns:xsd="http://www.w3.org/2001/XMLSchema" xmlns:xs="http://www.w3.org/2001/XMLSchema" xmlns:p="http://schemas.microsoft.com/office/2006/metadata/properties" xmlns:ns3="e6296839-5762-43ad-aa58-bf3a768c42df" xmlns:ns4="05d2253a-633f-41f3-98a4-8df1c3998f91" targetNamespace="http://schemas.microsoft.com/office/2006/metadata/properties" ma:root="true" ma:fieldsID="c10dc029b46a273b362a5f0b2f523aa6" ns3:_="" ns4:_="">
    <xsd:import namespace="e6296839-5762-43ad-aa58-bf3a768c42df"/>
    <xsd:import namespace="05d2253a-633f-41f3-98a4-8df1c3998f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96839-5762-43ad-aa58-bf3a768c42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2253a-633f-41f3-98a4-8df1c3998f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296839-5762-43ad-aa58-bf3a768c42df" xsi:nil="true"/>
  </documentManagement>
</p:properties>
</file>

<file path=customXml/itemProps1.xml><?xml version="1.0" encoding="utf-8"?>
<ds:datastoreItem xmlns:ds="http://schemas.openxmlformats.org/officeDocument/2006/customXml" ds:itemID="{5A258972-EEB6-4457-8351-D57A6F494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296839-5762-43ad-aa58-bf3a768c42df"/>
    <ds:schemaRef ds:uri="05d2253a-633f-41f3-98a4-8df1c3998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DFF85-7972-41DB-8887-572EBA7D4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89A32F-8D4D-4C0D-9784-3DF1CD43D4A7}">
  <ds:schemaRefs>
    <ds:schemaRef ds:uri="http://purl.org/dc/dcmitype/"/>
    <ds:schemaRef ds:uri="http://purl.org/dc/terms/"/>
    <ds:schemaRef ds:uri="http://schemas.microsoft.com/office/infopath/2007/PartnerControls"/>
    <ds:schemaRef ds:uri="e6296839-5762-43ad-aa58-bf3a768c42df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5d2253a-633f-41f3-98a4-8df1c3998f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Majid Azizi</dc:creator>
  <cp:keywords/>
  <dc:description/>
  <cp:lastModifiedBy>Majid Azizi</cp:lastModifiedBy>
  <cp:revision/>
  <dcterms:created xsi:type="dcterms:W3CDTF">2025-09-12T12:19:03Z</dcterms:created>
  <dcterms:modified xsi:type="dcterms:W3CDTF">2026-01-13T15:22:03Z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0x01010036938E566030254799E43F122EA7AE25</vt:lpwstr>
  </property>
</Properties>
</file>